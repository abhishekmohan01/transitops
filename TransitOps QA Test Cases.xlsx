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Role Edge Cases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<sst xmlns="http://schemas.openxmlformats.org/spreadsheetml/2006/main" count="471" uniqueCount="281">
  <si>
    <t xml:space="preserve">Test ID</t>
  </si>
  <si>
    <t xml:space="preserve">Category</t>
  </si>
  <si>
    <t xml:space="preserve">Workflow Name</t>
  </si>
  <si>
    <t xml:space="preserve">Priority</t>
  </si>
  <si>
    <t xml:space="preserve">Preconditions / Steps</t>
  </si>
  <si>
    <t xml:space="preserve">Expected Result</t>
  </si>
  <si>
    <t xml:space="preserve">Status</t>
  </si>
  <si>
    <t xml:space="preserve">Actual Result / Notes</t>
  </si>
  <si>
    <t xml:space="preserve">Tested By</t>
  </si>
  <si>
    <t xml:space="preserve">Date</t>
  </si>
  <si>
    <t xml:space="preserve">TC-01</t>
  </si>
  <si>
    <t xml:space="preserve">Uniqueness &amp; Registration Validation</t>
  </si>
  <si>
    <t xml:space="preserve">Duplicate vehicle rejection</t>
  </si>
  <si>
    <t xml:space="preserve">High</t>
  </si>
  <si>
    <t xml:space="preserve">1) Register vehicle 'Van-05' (reg VAN-005). 2) Attempt to register a second vehicle using reg number VAN-005.</t>
  </si>
  <si>
    <t xml:space="preserve">System blocks the second registration with a 'duplicate registration number' error.</t>
  </si>
  <si>
    <t xml:space="preserve">Not Tested</t>
  </si>
  <si>
    <t xml:space="preserve">TC-02</t>
  </si>
  <si>
    <t xml:space="preserve">Required field validation</t>
  </si>
  <si>
    <t xml:space="preserve">Medium</t>
  </si>
  <si>
    <t xml:space="preserve">Try registering a vehicle with no Max Load Capacity, or a negative value.</t>
  </si>
  <si>
    <t xml:space="preserve">Form validation rejects submission before it reaches the database.</t>
  </si>
  <si>
    <t xml:space="preserve">TC-03</t>
  </si>
  <si>
    <t xml:space="preserve">Driver Eligibility Rules</t>
  </si>
  <si>
    <t xml:space="preserve">Expired license blocks assignment</t>
  </si>
  <si>
    <t xml:space="preserve">1) Register driver 'Sam' with License Expiry Date = yesterday. 2) Try to assign Sam to a new trip.</t>
  </si>
  <si>
    <t xml:space="preserve">Sam does not appear in the driver dropdown, or assignment is rejected with an 'expired license' error.</t>
  </si>
  <si>
    <t xml:space="preserve">TC-04</t>
  </si>
  <si>
    <t xml:space="preserve">Suspended driver blocked</t>
  </si>
  <si>
    <t xml:space="preserve">1) Set driver 'Riya' status = Suspended (Safety Officer role). 2) Attempt to assign Riya to a trip.</t>
  </si>
  <si>
    <t xml:space="preserve">Riya is excluded from the driver selection pool.</t>
  </si>
  <si>
    <t xml:space="preserve">TC-05</t>
  </si>
  <si>
    <t xml:space="preserve">Double-booking a driver</t>
  </si>
  <si>
    <t xml:space="preserve">1) Dispatch a trip with driver 'Alex' (status -&gt; On Trip). 2) Create a second trip and try to assign Alex again.</t>
  </si>
  <si>
    <t xml:space="preserve">Alex is not selectable, or the second assignment is rejected.</t>
  </si>
  <si>
    <t xml:space="preserve">TC-06</t>
  </si>
  <si>
    <t xml:space="preserve">Vehicle Eligibility Rules</t>
  </si>
  <si>
    <t xml:space="preserve">Vehicle in shop excluded from dispatch</t>
  </si>
  <si>
    <t xml:space="preserve">1) Create an active maintenance record for 'Van-05' (status auto -&gt; In Shop). 2) Attempt to create a trip and select Van-05.</t>
  </si>
  <si>
    <t xml:space="preserve">Van-05 does not appear in the vehicle dropdown.</t>
  </si>
  <si>
    <t xml:space="preserve">TC-07</t>
  </si>
  <si>
    <t xml:space="preserve">Retired vehicle permanently excluded</t>
  </si>
  <si>
    <t xml:space="preserve">1) Set a vehicle status to Retired. 2) Try to dispatch it. 3) Add it to a maintenance log, then close that log.</t>
  </si>
  <si>
    <t xml:space="preserve">Vehicle excluded from dispatch at all times; after closing maintenance it stays Retired (not reverted to Available).</t>
  </si>
  <si>
    <t xml:space="preserve">TC-08</t>
  </si>
  <si>
    <t xml:space="preserve">Double-booking a vehicle</t>
  </si>
  <si>
    <t xml:space="preserve">1) Dispatch Van-05 on Trip A (status -&gt; On Trip). 2) Attempt to assign Van-05 to Trip B before Trip A completes.</t>
  </si>
  <si>
    <t xml:space="preserve">Assignment to Trip B is rejected.</t>
  </si>
  <si>
    <t xml:space="preserve">TC-09</t>
  </si>
  <si>
    <t xml:space="preserve">Cargo Weight Validation</t>
  </si>
  <si>
    <t xml:space="preserve">Overweight cargo rejected</t>
  </si>
  <si>
    <t xml:space="preserve">Van-05 max capacity = 500kg. Create a trip with Cargo Weight = 600kg.</t>
  </si>
  <si>
    <t xml:space="preserve">System blocks trip creation/dispatch with a capacity-exceeded error.</t>
  </si>
  <si>
    <t xml:space="preserve">TC-10</t>
  </si>
  <si>
    <t xml:space="preserve">Boundary case: cargo equals max capacity</t>
  </si>
  <si>
    <t xml:space="preserve">Create a trip with Cargo Weight = exactly 500kg (equal to max capacity).</t>
  </si>
  <si>
    <t xml:space="preserve">Trip is allowed (rule is 'must not exceed', so equal should pass).</t>
  </si>
  <si>
    <t xml:space="preserve">TC-11</t>
  </si>
  <si>
    <t xml:space="preserve">Trip Lifecycle &amp; Status Cascades</t>
  </si>
  <si>
    <t xml:space="preserve">Full happy path</t>
  </si>
  <si>
    <t xml:space="preserve">1) Register Van-05 (Available) and driver Alex (Available, valid license). 2) Create trip, Cargo=450kg -&gt; Draft. 3) Dispatch -&gt; both flip to On Trip. 4) Complete trip (enter odometer + fuel) -&gt; both flip back to Available.</t>
  </si>
  <si>
    <t xml:space="preserve">Odometer updates on vehicle record; trip status = Completed; vehicle &amp; driver = Available.</t>
  </si>
  <si>
    <t xml:space="preserve">TC-12</t>
  </si>
  <si>
    <t xml:space="preserve">Cancellation restores availability</t>
  </si>
  <si>
    <t xml:space="preserve">1) Dispatch a trip (vehicle/driver -&gt; On Trip). 2) Cancel the dispatched trip.</t>
  </si>
  <si>
    <t xml:space="preserve">Vehicle and driver both revert to Available (not stuck On Trip).</t>
  </si>
  <si>
    <t xml:space="preserve">TC-13</t>
  </si>
  <si>
    <t xml:space="preserve">Cancelling a Draft trip</t>
  </si>
  <si>
    <t xml:space="preserve">Low</t>
  </si>
  <si>
    <t xml:space="preserve">1) Create a trip but do not dispatch it (remains Draft). 2) Cancel it.</t>
  </si>
  <si>
    <t xml:space="preserve">No status side-effects on vehicle/driver, since neither was ever marked On Trip.</t>
  </si>
  <si>
    <t xml:space="preserve">TC-14</t>
  </si>
  <si>
    <t xml:space="preserve">Maintenance Workflow</t>
  </si>
  <si>
    <t xml:space="preserve">Maintenance blocks and restores</t>
  </si>
  <si>
    <t xml:space="preserve">1) Van-05 is Available. 2) Create maintenance record ('Oil Change') -&gt; Van-05 becomes In Shop. 3) Confirm Van-05 missing from dispatch pool. 4) Close the maintenance record.</t>
  </si>
  <si>
    <t xml:space="preserve">Van-05 reverts to Available and reappears in the dispatch pool.</t>
  </si>
  <si>
    <t xml:space="preserve">TC-15</t>
  </si>
  <si>
    <t xml:space="preserve">Multiple open maintenance records</t>
  </si>
  <si>
    <t xml:space="preserve">1) Create two maintenance records for the same vehicle without closing the first. 2) Close one of them.</t>
  </si>
  <si>
    <t xml:space="preserve">Vehicle stays In Shop until ALL active maintenance records are closed (document expected behavior).</t>
  </si>
  <si>
    <t xml:space="preserve">TC-16</t>
  </si>
  <si>
    <t xml:space="preserve">Fuel, Expense &amp; Cost Calculations</t>
  </si>
  <si>
    <t xml:space="preserve">Operational cost aggregation</t>
  </si>
  <si>
    <t xml:space="preserve">Log fuel: 50L @ $2/L ($100). Log expense: $30 toll. Log maintenance cost: $150 oil change (all for Van-05).</t>
  </si>
  <si>
    <t xml:space="preserve">Reports show Total Operational Cost = $280 for Van-05 (100+30+150).</t>
  </si>
  <si>
    <t xml:space="preserve">TC-17</t>
  </si>
  <si>
    <t xml:space="preserve">Fuel efficiency calculation</t>
  </si>
  <si>
    <t xml:space="preserve">Complete a trip: distance = 200km, fuel consumed = 20L.</t>
  </si>
  <si>
    <t xml:space="preserve">Report shows Fuel Efficiency = 10 km/L (200/20).</t>
  </si>
  <si>
    <t xml:space="preserve">TC-18</t>
  </si>
  <si>
    <t xml:space="preserve">ROI calculation</t>
  </si>
  <si>
    <t xml:space="preserve">Vehicle acquisition cost = $20,000; revenue = $5,000; maintenance+fuel = $1,000.</t>
  </si>
  <si>
    <t xml:space="preserve">ROI = (5000-1000)/20000 = 0.20 (20%).</t>
  </si>
  <si>
    <t xml:space="preserve">TC-19</t>
  </si>
  <si>
    <t xml:space="preserve">RBAC / Access Control</t>
  </si>
  <si>
    <t xml:space="preserve">Role restriction</t>
  </si>
  <si>
    <t xml:space="preserve">1) Log in as Driver role. 2) Attempt to access Vehicle Registry create/edit or Financial reports.</t>
  </si>
  <si>
    <t xml:space="preserve">Access denied, or the relevant UI elements are hidden based on role.</t>
  </si>
  <si>
    <t xml:space="preserve">TC-20</t>
  </si>
  <si>
    <t xml:space="preserve">Unauthenticated access</t>
  </si>
  <si>
    <t xml:space="preserve">1) Log out / clear session. 2) Try to navigate directly to a dashboard URL.</t>
  </si>
  <si>
    <t xml:space="preserve">User is redirected to the login page.</t>
  </si>
  <si>
    <t xml:space="preserve">TC-21</t>
  </si>
  <si>
    <t xml:space="preserve">Dashboard / KPI Consistency</t>
  </si>
  <si>
    <t xml:space="preserve">KPI accuracy after state changes</t>
  </si>
  <si>
    <t xml:space="preserve">1) Note starting KPI counts. 2) Dispatch a trip, then put another vehicle into maintenance.</t>
  </si>
  <si>
    <t xml:space="preserve">Available Vehicles drops by 2; Vehicles in Maintenance rises by 1; Active Trips rises by 1.</t>
  </si>
  <si>
    <t xml:space="preserve">Edge Case ID</t>
  </si>
  <si>
    <t xml:space="preserve">Role</t>
  </si>
  <si>
    <t xml:space="preserve">Edge Case</t>
  </si>
  <si>
    <t xml:space="preserve">EC-01</t>
  </si>
  <si>
    <t xml:space="preserve">Fleet Manager</t>
  </si>
  <si>
    <t xml:space="preserve">Retire a vehicle currently On Trip</t>
  </si>
  <si>
    <t xml:space="preserve">Attempt to set a vehicle's status to Retired while it is mid-trip (On Trip).</t>
  </si>
  <si>
    <t xml:space="preserve">System blocks retirement until the trip is Completed or Cancelled, or forces the trip to resolve first.</t>
  </si>
  <si>
    <t xml:space="preserve">EC-02</t>
  </si>
  <si>
    <t xml:space="preserve">Retire a vehicle with an open maintenance record</t>
  </si>
  <si>
    <t xml:space="preserve">Attempt to retire a vehicle that has an active (unclosed) maintenance record.</t>
  </si>
  <si>
    <t xml:space="preserve">System either blocks retirement until maintenance is closed, or auto-closes it and logs the action — behavior must be explicit, not silent.</t>
  </si>
  <si>
    <t xml:space="preserve">EC-03</t>
  </si>
  <si>
    <t xml:space="preserve">Case/whitespace duplicate registration number</t>
  </si>
  <si>
    <t xml:space="preserve">Register 'VAN-005', then attempt to register 'van-005' or 'VAN-005 ' (trailing space).</t>
  </si>
  <si>
    <t xml:space="preserve">Rejected as a duplicate; uniqueness check is case-insensitive and trims whitespace.</t>
  </si>
  <si>
    <t xml:space="preserve">EC-04</t>
  </si>
  <si>
    <t xml:space="preserve">Odometer rollback</t>
  </si>
  <si>
    <t xml:space="preserve">Edit a vehicle's odometer to a value lower than its current recorded reading.</t>
  </si>
  <si>
    <t xml:space="preserve">System rejects the edit — odometer should only increase.</t>
  </si>
  <si>
    <t xml:space="preserve">EC-05</t>
  </si>
  <si>
    <t xml:space="preserve">Delete a vehicle with trip/expense history</t>
  </si>
  <si>
    <t xml:space="preserve">Attempt to permanently delete a vehicle that has past trips, fuel logs, or maintenance records.</t>
  </si>
  <si>
    <t xml:space="preserve">Hard delete is blocked; system allows soft-delete/Retired status only, preserving historical records.</t>
  </si>
  <si>
    <t xml:space="preserve">EC-06</t>
  </si>
  <si>
    <t xml:space="preserve">Maintenance record with end date before start date</t>
  </si>
  <si>
    <t xml:space="preserve">Create a maintenance record where the completion date precedes the start date.</t>
  </si>
  <si>
    <t xml:space="preserve">Form validation rejects the date range.</t>
  </si>
  <si>
    <t xml:space="preserve">EC-07</t>
  </si>
  <si>
    <t xml:space="preserve">Close maintenance that's already closed</t>
  </si>
  <si>
    <t xml:space="preserve">Attempt to close a maintenance record that has no active/open status.</t>
  </si>
  <si>
    <t xml:space="preserve">System shows a no-op message or disables the action; no duplicate status change fires.</t>
  </si>
  <si>
    <t xml:space="preserve">EC-08</t>
  </si>
  <si>
    <t xml:space="preserve">Zero or negative acquisition cost</t>
  </si>
  <si>
    <t xml:space="preserve">Register a vehicle with Acquisition Cost = 0 or a negative number.</t>
  </si>
  <si>
    <t xml:space="preserve">Rejected — acquisition cost must be a positive value (also prevents divide-by-zero in ROI reports).</t>
  </si>
  <si>
    <t xml:space="preserve">EC-09</t>
  </si>
  <si>
    <t xml:space="preserve">Bulk import with internal duplicates</t>
  </si>
  <si>
    <t xml:space="preserve">Import a CSV of vehicles where two rows share the same registration number.</t>
  </si>
  <si>
    <t xml:space="preserve">Import fails or partially succeeds with a clear per-row error identifying the duplicate.</t>
  </si>
  <si>
    <t xml:space="preserve">EC-10</t>
  </si>
  <si>
    <t xml:space="preserve">Driver</t>
  </si>
  <si>
    <t xml:space="preserve">Trip with identical source and destination</t>
  </si>
  <si>
    <t xml:space="preserve">Create a trip where Source = Destination.</t>
  </si>
  <si>
    <t xml:space="preserve">System rejects the trip or requires confirmation, since a zero-distance trip is likely a data-entry error.</t>
  </si>
  <si>
    <t xml:space="preserve">EC-11</t>
  </si>
  <si>
    <t xml:space="preserve">Zero or negative cargo weight</t>
  </si>
  <si>
    <t xml:space="preserve">Create a trip with Cargo Weight = 0 or a negative number.</t>
  </si>
  <si>
    <t xml:space="preserve">Rejected — cargo weight must be a positive value.</t>
  </si>
  <si>
    <t xml:space="preserve">EC-12</t>
  </si>
  <si>
    <t xml:space="preserve">Zero or negative planned distance</t>
  </si>
  <si>
    <t xml:space="preserve">Create a trip with Planned Distance = 0 or negative.</t>
  </si>
  <si>
    <t xml:space="preserve">Rejected with a validation error.</t>
  </si>
  <si>
    <t xml:space="preserve">EC-13</t>
  </si>
  <si>
    <t xml:space="preserve">License expires mid-trip</t>
  </si>
  <si>
    <t xml:space="preserve">Assign a driver whose license is valid today but expires before the trip's planned completion date.</t>
  </si>
  <si>
    <t xml:space="preserve">System warns or blocks assignment, since the license would lapse while the driver is On Trip.</t>
  </si>
  <si>
    <t xml:space="preserve">EC-14</t>
  </si>
  <si>
    <t xml:space="preserve">Empty selection pool at dispatch</t>
  </si>
  <si>
    <t xml:space="preserve">Attempt to create a trip when zero vehicles or zero drivers are currently Available.</t>
  </si>
  <si>
    <t xml:space="preserve">UI shows a clear empty state ('No available vehicles/drivers') instead of an empty dropdown or crash.</t>
  </si>
  <si>
    <t xml:space="preserve">EC-15</t>
  </si>
  <si>
    <t xml:space="preserve">Complete a trip that was never dispatched</t>
  </si>
  <si>
    <t xml:space="preserve">Attempt to mark a Draft trip as Completed without dispatching it first.</t>
  </si>
  <si>
    <t xml:space="preserve">Rejected — a trip must pass through Dispatched before it can be Completed.</t>
  </si>
  <si>
    <t xml:space="preserve">EC-16</t>
  </si>
  <si>
    <t xml:space="preserve">Final odometer less than current odometer</t>
  </si>
  <si>
    <t xml:space="preserve">Complete a trip entering a final odometer reading lower than the vehicle's last recorded odometer.</t>
  </si>
  <si>
    <t xml:space="preserve">Rejected — final odometer must be &gt;= starting odometer.</t>
  </si>
  <si>
    <t xml:space="preserve">EC-17</t>
  </si>
  <si>
    <t xml:space="preserve">Zero fuel consumed on completion</t>
  </si>
  <si>
    <t xml:space="preserve">Complete a trip with Fuel Consumed = 0.</t>
  </si>
  <si>
    <t xml:space="preserve">System allows it but flags/warns, since fuel efficiency can't be computed (avoid divide-by-zero in reports).</t>
  </si>
  <si>
    <t xml:space="preserve">EC-18</t>
  </si>
  <si>
    <t xml:space="preserve">Cancel an already-Completed trip</t>
  </si>
  <si>
    <t xml:space="preserve">Attempt to cancel a trip whose status is already Completed.</t>
  </si>
  <si>
    <t xml:space="preserve">Rejected — only Draft or Dispatched trips can be cancelled.</t>
  </si>
  <si>
    <t xml:space="preserve">EC-19</t>
  </si>
  <si>
    <t xml:space="preserve">Concurrent dispatch race condition</t>
  </si>
  <si>
    <t xml:space="preserve">Two trip-creation requests attempt to assign the same driver and vehicle at nearly the same moment.</t>
  </si>
  <si>
    <t xml:space="preserve">Only one dispatch succeeds; the second is rejected with an 'already assigned' error (no double On Trip state).</t>
  </si>
  <si>
    <t xml:space="preserve">EC-20</t>
  </si>
  <si>
    <t xml:space="preserve">Safety Officer</t>
  </si>
  <si>
    <t xml:space="preserve">Safety score outside valid range</t>
  </si>
  <si>
    <t xml:space="preserve">Set a driver's Safety Score to a negative number or a value above the defined max (e.g., &gt;100).</t>
  </si>
  <si>
    <t xml:space="preserve">Rejected by validation — score must stay within the defined bounds (e.g., 0-100).</t>
  </si>
  <si>
    <t xml:space="preserve">EC-21</t>
  </si>
  <si>
    <t xml:space="preserve">Suspend a driver who is currently On Trip</t>
  </si>
  <si>
    <t xml:space="preserve">Set a driver's status to Suspended while they are actively assigned to a Dispatched trip.</t>
  </si>
  <si>
    <t xml:space="preserve">System defines explicit behavior: either block the suspension until the trip ends, or allow it but flag the in-progress trip for review — must not silently leave conflicting states.</t>
  </si>
  <si>
    <t xml:space="preserve">EC-22</t>
  </si>
  <si>
    <t xml:space="preserve">Backdate license expiry while driver is On Trip</t>
  </si>
  <si>
    <t xml:space="preserve">Edit a driver's License Expiry Date to a past date while their status is On Trip.</t>
  </si>
  <si>
    <t xml:space="preserve">System flags the driver as non-compliant immediately and prevents future trip assignments, even though the current trip continues.</t>
  </si>
  <si>
    <t xml:space="preserve">EC-23</t>
  </si>
  <si>
    <t xml:space="preserve">Reactivate a suspended driver</t>
  </si>
  <si>
    <t xml:space="preserve">Change a driver's status from Suspended back to Available.</t>
  </si>
  <si>
    <t xml:space="preserve">Driver correctly returns to Available (not On Trip or any stale state) and reappears in the assignment pool.</t>
  </si>
  <si>
    <t xml:space="preserve">EC-24</t>
  </si>
  <si>
    <t xml:space="preserve">Concurrent status edits by two safety officers</t>
  </si>
  <si>
    <t xml:space="preserve">Two Safety Officer sessions update the same driver's status/safety score simultaneously.</t>
  </si>
  <si>
    <t xml:space="preserve">Last-write-wins with no data corruption, or system shows a conflict warning.</t>
  </si>
  <si>
    <t xml:space="preserve">EC-25</t>
  </si>
  <si>
    <t xml:space="preserve">Edit safety score for a non-existent/removed driver</t>
  </si>
  <si>
    <t xml:space="preserve">Attempt to update the safety score of a driver ID that no longer exists.</t>
  </si>
  <si>
    <t xml:space="preserve">System returns a clear 'driver not found' error rather than a silent failure.</t>
  </si>
  <si>
    <t xml:space="preserve">EC-26</t>
  </si>
  <si>
    <t xml:space="preserve">Financial Analyst</t>
  </si>
  <si>
    <t xml:space="preserve">Backdated fuel log before vehicle registration</t>
  </si>
  <si>
    <t xml:space="preserve">Log a fuel entry for a vehicle with a date earlier than that vehicle's registration date.</t>
  </si>
  <si>
    <t xml:space="preserve">Rejected — fuel log date cannot precede the vehicle's registration date.</t>
  </si>
  <si>
    <t xml:space="preserve">EC-27</t>
  </si>
  <si>
    <t xml:space="preserve">Fuel log with a future date</t>
  </si>
  <si>
    <t xml:space="preserve">Log a fuel entry with a date later than today.</t>
  </si>
  <si>
    <t xml:space="preserve">Rejected — fuel log dates cannot be in the future.</t>
  </si>
  <si>
    <t xml:space="preserve">EC-28</t>
  </si>
  <si>
    <t xml:space="preserve">Negative fuel cost or liters</t>
  </si>
  <si>
    <t xml:space="preserve">Enter a fuel log with negative Liters or negative Cost.</t>
  </si>
  <si>
    <t xml:space="preserve">Rejected by validation.</t>
  </si>
  <si>
    <t xml:space="preserve">EC-29</t>
  </si>
  <si>
    <t xml:space="preserve">Zero-cost expense entry</t>
  </si>
  <si>
    <t xml:space="preserve">Log an expense (e.g., toll) with Cost = 0.</t>
  </si>
  <si>
    <t xml:space="preserve">Allowed but flagged for review, since a zero-cost entry is unusual but not impossible.</t>
  </si>
  <si>
    <t xml:space="preserve">EC-30</t>
  </si>
  <si>
    <t xml:space="preserve">ROI calculation with zero acquisition cost</t>
  </si>
  <si>
    <t xml:space="preserve">View the ROI report for a vehicle whose Acquisition Cost is 0 (legacy/bad data).</t>
  </si>
  <si>
    <t xml:space="preserve">Report shows 'N/A' or a guarded message instead of a divide-by-zero error or crash.</t>
  </si>
  <si>
    <t xml:space="preserve">EC-31</t>
  </si>
  <si>
    <t xml:space="preserve">Excess decimal precision on cost fields</t>
  </si>
  <si>
    <t xml:space="preserve">Enter a fuel cost with more than 2 decimal places (e.g., 45.6789).</t>
  </si>
  <si>
    <t xml:space="preserve">System rounds/truncates consistently to 2 decimals in storage and display.</t>
  </si>
  <si>
    <t xml:space="preserve">EC-32</t>
  </si>
  <si>
    <t xml:space="preserve">Duplicate fuel log entry</t>
  </si>
  <si>
    <t xml:space="preserve">Submit two fuel logs for the same vehicle, date, and liter amount in quick succession (accidental double-click).</t>
  </si>
  <si>
    <t xml:space="preserve">System warns of a likely duplicate before saving, or de-duplicates on the backend.</t>
  </si>
  <si>
    <t xml:space="preserve">EC-33</t>
  </si>
  <si>
    <t xml:space="preserve">CSV export with no matching records</t>
  </si>
  <si>
    <t xml:space="preserve">Export a report for a date range or vehicle with zero matching records.</t>
  </si>
  <si>
    <t xml:space="preserve">Export produces a valid empty CSV with headers, not an error or blank file.</t>
  </si>
  <si>
    <t xml:space="preserve">EC-34</t>
  </si>
  <si>
    <t xml:space="preserve">Financial report on a Retired vehicle</t>
  </si>
  <si>
    <t xml:space="preserve">View operational cost / ROI reports for a vehicle that has since been Retired.</t>
  </si>
  <si>
    <t xml:space="preserve">Historical cost and revenue data still displays correctly; Retired status doesn't hide past financials.</t>
  </si>
  <si>
    <t xml:space="preserve">EC-35</t>
  </si>
  <si>
    <t xml:space="preserve">Cross-Role / System</t>
  </si>
  <si>
    <t xml:space="preserve">Conflicting simultaneous actions</t>
  </si>
  <si>
    <t xml:space="preserve">Fleet Manager retires a vehicle at the same moment a Driver is dispatching a trip using that same vehicle.</t>
  </si>
  <si>
    <t xml:space="preserve">System enforces atomic status checks so only one action succeeds; no vehicle ends up both Retired and On Trip.</t>
  </si>
  <si>
    <t xml:space="preserve">EC-36</t>
  </si>
  <si>
    <t xml:space="preserve">Direct API call bypassing role permissions</t>
  </si>
  <si>
    <t xml:space="preserve">A logged-in Driver calls a Financial Analyst-only endpoint (e.g., expense report) directly, bypassing the UI.</t>
  </si>
  <si>
    <t xml:space="preserve">Backend enforces RBAC independent of the UI; request is rejected with 403 Forbidden.</t>
  </si>
  <si>
    <t xml:space="preserve">EC-37</t>
  </si>
  <si>
    <t xml:space="preserve">Session expiry mid-form-submission</t>
  </si>
  <si>
    <t xml:space="preserve">Start filling out a trip/vehicle form, let the session expire, then submit.</t>
  </si>
  <si>
    <t xml:space="preserve">User is redirected to login without data corruption; no partial record is saved.</t>
  </si>
  <si>
    <t xml:space="preserve">EC-38</t>
  </si>
  <si>
    <t xml:space="preserve">Timezone boundary on date-based logs</t>
  </si>
  <si>
    <t xml:space="preserve">Log a fuel entry or complete a trip near midnight in the user's local timezone, near a UTC day boundary.</t>
  </si>
  <si>
    <t xml:space="preserve">Date stored reflects the user's local date consistently across create, edit, and reporting views.</t>
  </si>
  <si>
    <t xml:space="preserve">TransitOps – QA Test Summary</t>
  </si>
  <si>
    <t xml:space="preserve">Metric</t>
  </si>
  <si>
    <t xml:space="preserve">Count</t>
  </si>
  <si>
    <t xml:space="preserve"># Cases</t>
  </si>
  <si>
    <t xml:space="preserve"># Passed</t>
  </si>
  <si>
    <t xml:space="preserve">Total Test Cases</t>
  </si>
  <si>
    <t xml:space="preserve">Passed</t>
  </si>
  <si>
    <t xml:space="preserve">Failed</t>
  </si>
  <si>
    <t xml:space="preserve">Blocked</t>
  </si>
  <si>
    <t xml:space="preserve">High Priority Cases</t>
  </si>
  <si>
    <t xml:space="preserve">Pass Rate</t>
  </si>
  <si>
    <t xml:space="preserve">Role Edge Cases – QA Summary</t>
  </si>
  <si>
    <t xml:space="preserve"># Edge Cases</t>
  </si>
  <si>
    <t xml:space="preserve">Total Edge Cases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</si>
</sst>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sz val="11"/>
      <name val="Arial"/>
      <family val="0"/>
      <charset val="1"/>
    </font>
    <font>
      <b val="true"/>
      <sz val="13"/>
      <color rgb="FF1F4E78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FF2CC"/>
      </patternFill>
    </fill>
    <fill>
      <patternFill patternType="solid">
        <fgColor rgb="FFC6E0B4"/>
        <bgColor rgb="FFE2EFDA"/>
      </patternFill>
    </fill>
    <fill>
      <patternFill patternType="solid">
        <fgColor rgb="FFD9E1F2"/>
        <bgColor rgb="FFE4DFEC"/>
      </patternFill>
    </fill>
    <fill>
      <patternFill patternType="solid">
        <fgColor rgb="FFE2EFDA"/>
        <bgColor rgb="FFE4DFEC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4DFEC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E4DFEC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0B4"/>
      <rgbColor rgb="FFE2EFDA"/>
      <rgbColor rgb="FFFFE699"/>
      <rgbColor rgb="FF99CCFF"/>
      <rgbColor rgb="FFFCE4D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6"/>
    <col collapsed="false" customWidth="true" hidden="false" outlineLevel="0" max="3" min="3" style="1" width="28"/>
    <col collapsed="false" customWidth="true" hidden="false" outlineLevel="0" max="4" min="4" style="1" width="10"/>
    <col collapsed="false" customWidth="true" hidden="false" outlineLevel="0" max="5" min="5" style="1" width="46"/>
    <col collapsed="false" customWidth="true" hidden="false" outlineLevel="0" max="6" min="6" style="1" width="40"/>
    <col collapsed="false" customWidth="true" hidden="false" outlineLevel="0" max="7" min="7" style="1" width="13"/>
    <col collapsed="false" customWidth="true" hidden="false" outlineLevel="0" max="8" min="8" style="1" width="26"/>
    <col collapsed="false" customWidth="true" hidden="false" outlineLevel="0" max="10" min="9" style="1" width="12"/>
  </cols>
  <sheetData>
    <row r="1" customFormat="false" ht="19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34.5" hidden="false" customHeight="true" outlineLevel="0" collapsed="false">
      <c r="A2" s="3" t="s">
        <v>10</v>
      </c>
      <c r="B2" s="3" t="s">
        <v>11</v>
      </c>
      <c r="C2" s="3" t="s">
        <v>12</v>
      </c>
      <c r="D2" s="4" t="s">
        <v>13</v>
      </c>
      <c r="E2" s="5" t="s">
        <v>14</v>
      </c>
      <c r="F2" s="5" t="s">
        <v>15</v>
      </c>
      <c r="G2" s="3" t="s">
        <v>16</v>
      </c>
      <c r="H2" s="5"/>
      <c r="I2" s="3"/>
      <c r="J2" s="3"/>
    </row>
    <row r="3" customFormat="false" ht="34.5" hidden="false" customHeight="true" outlineLevel="0" collapsed="false">
      <c r="A3" s="3" t="s">
        <v>17</v>
      </c>
      <c r="B3" s="3" t="s">
        <v>11</v>
      </c>
      <c r="C3" s="3" t="s">
        <v>18</v>
      </c>
      <c r="D3" s="6" t="s">
        <v>19</v>
      </c>
      <c r="E3" s="5" t="s">
        <v>20</v>
      </c>
      <c r="F3" s="5" t="s">
        <v>21</v>
      </c>
      <c r="G3" s="3" t="s">
        <v>16</v>
      </c>
      <c r="H3" s="5"/>
      <c r="I3" s="3"/>
      <c r="J3" s="3"/>
    </row>
    <row r="4" customFormat="false" ht="34.5" hidden="false" customHeight="true" outlineLevel="0" collapsed="false">
      <c r="A4" s="3" t="s">
        <v>22</v>
      </c>
      <c r="B4" s="3" t="s">
        <v>23</v>
      </c>
      <c r="C4" s="3" t="s">
        <v>24</v>
      </c>
      <c r="D4" s="4" t="s">
        <v>13</v>
      </c>
      <c r="E4" s="5" t="s">
        <v>25</v>
      </c>
      <c r="F4" s="5" t="s">
        <v>26</v>
      </c>
      <c r="G4" s="3" t="s">
        <v>16</v>
      </c>
      <c r="H4" s="5"/>
      <c r="I4" s="3"/>
      <c r="J4" s="3"/>
    </row>
    <row r="5" customFormat="false" ht="23.25" hidden="false" customHeight="true" outlineLevel="0" collapsed="false">
      <c r="A5" s="3" t="s">
        <v>27</v>
      </c>
      <c r="B5" s="3" t="s">
        <v>23</v>
      </c>
      <c r="C5" s="3" t="s">
        <v>28</v>
      </c>
      <c r="D5" s="4" t="s">
        <v>13</v>
      </c>
      <c r="E5" s="5" t="s">
        <v>29</v>
      </c>
      <c r="F5" s="5" t="s">
        <v>30</v>
      </c>
      <c r="G5" s="3" t="s">
        <v>16</v>
      </c>
      <c r="H5" s="5"/>
      <c r="I5" s="3"/>
      <c r="J5" s="3"/>
    </row>
    <row r="6" customFormat="false" ht="23.25" hidden="false" customHeight="true" outlineLevel="0" collapsed="false">
      <c r="A6" s="3" t="s">
        <v>31</v>
      </c>
      <c r="B6" s="3" t="s">
        <v>23</v>
      </c>
      <c r="C6" s="3" t="s">
        <v>32</v>
      </c>
      <c r="D6" s="4" t="s">
        <v>13</v>
      </c>
      <c r="E6" s="5" t="s">
        <v>33</v>
      </c>
      <c r="F6" s="5" t="s">
        <v>34</v>
      </c>
      <c r="G6" s="3" t="s">
        <v>16</v>
      </c>
      <c r="H6" s="5"/>
      <c r="I6" s="3"/>
      <c r="J6" s="3"/>
    </row>
    <row r="7" customFormat="false" ht="34.5" hidden="false" customHeight="true" outlineLevel="0" collapsed="false">
      <c r="A7" s="3" t="s">
        <v>35</v>
      </c>
      <c r="B7" s="3" t="s">
        <v>36</v>
      </c>
      <c r="C7" s="3" t="s">
        <v>37</v>
      </c>
      <c r="D7" s="4" t="s">
        <v>13</v>
      </c>
      <c r="E7" s="5" t="s">
        <v>38</v>
      </c>
      <c r="F7" s="5" t="s">
        <v>39</v>
      </c>
      <c r="G7" s="3" t="s">
        <v>16</v>
      </c>
      <c r="H7" s="5"/>
      <c r="I7" s="3"/>
      <c r="J7" s="3"/>
    </row>
    <row r="8" customFormat="false" ht="34.5" hidden="false" customHeight="true" outlineLevel="0" collapsed="false">
      <c r="A8" s="3" t="s">
        <v>40</v>
      </c>
      <c r="B8" s="3" t="s">
        <v>36</v>
      </c>
      <c r="C8" s="3" t="s">
        <v>41</v>
      </c>
      <c r="D8" s="4" t="s">
        <v>13</v>
      </c>
      <c r="E8" s="5" t="s">
        <v>42</v>
      </c>
      <c r="F8" s="5" t="s">
        <v>43</v>
      </c>
      <c r="G8" s="3" t="s">
        <v>16</v>
      </c>
      <c r="H8" s="5"/>
      <c r="I8" s="3"/>
      <c r="J8" s="3"/>
    </row>
    <row r="9" customFormat="false" ht="34.5" hidden="false" customHeight="true" outlineLevel="0" collapsed="false">
      <c r="A9" s="3" t="s">
        <v>44</v>
      </c>
      <c r="B9" s="3" t="s">
        <v>36</v>
      </c>
      <c r="C9" s="3" t="s">
        <v>45</v>
      </c>
      <c r="D9" s="4" t="s">
        <v>13</v>
      </c>
      <c r="E9" s="5" t="s">
        <v>46</v>
      </c>
      <c r="F9" s="5" t="s">
        <v>47</v>
      </c>
      <c r="G9" s="3" t="s">
        <v>16</v>
      </c>
      <c r="H9" s="5"/>
      <c r="I9" s="3"/>
      <c r="J9" s="3"/>
    </row>
    <row r="10" customFormat="false" ht="23.25" hidden="false" customHeight="true" outlineLevel="0" collapsed="false">
      <c r="A10" s="3" t="s">
        <v>48</v>
      </c>
      <c r="B10" s="3" t="s">
        <v>49</v>
      </c>
      <c r="C10" s="3" t="s">
        <v>50</v>
      </c>
      <c r="D10" s="4" t="s">
        <v>13</v>
      </c>
      <c r="E10" s="5" t="s">
        <v>51</v>
      </c>
      <c r="F10" s="5" t="s">
        <v>52</v>
      </c>
      <c r="G10" s="3" t="s">
        <v>16</v>
      </c>
      <c r="H10" s="5"/>
      <c r="I10" s="3"/>
      <c r="J10" s="3"/>
    </row>
    <row r="11" customFormat="false" ht="23.25" hidden="false" customHeight="true" outlineLevel="0" collapsed="false">
      <c r="A11" s="3" t="s">
        <v>53</v>
      </c>
      <c r="B11" s="3" t="s">
        <v>49</v>
      </c>
      <c r="C11" s="3" t="s">
        <v>54</v>
      </c>
      <c r="D11" s="6" t="s">
        <v>19</v>
      </c>
      <c r="E11" s="5" t="s">
        <v>55</v>
      </c>
      <c r="F11" s="5" t="s">
        <v>56</v>
      </c>
      <c r="G11" s="3" t="s">
        <v>16</v>
      </c>
      <c r="H11" s="5"/>
      <c r="I11" s="3"/>
      <c r="J11" s="3"/>
    </row>
    <row r="12" customFormat="false" ht="45.75" hidden="false" customHeight="true" outlineLevel="0" collapsed="false">
      <c r="A12" s="3" t="s">
        <v>57</v>
      </c>
      <c r="B12" s="3" t="s">
        <v>58</v>
      </c>
      <c r="C12" s="3" t="s">
        <v>59</v>
      </c>
      <c r="D12" s="4" t="s">
        <v>13</v>
      </c>
      <c r="E12" s="5" t="s">
        <v>60</v>
      </c>
      <c r="F12" s="5" t="s">
        <v>61</v>
      </c>
      <c r="G12" s="3" t="s">
        <v>16</v>
      </c>
      <c r="H12" s="5"/>
      <c r="I12" s="3"/>
      <c r="J12" s="3"/>
    </row>
    <row r="13" customFormat="false" ht="23.25" hidden="false" customHeight="true" outlineLevel="0" collapsed="false">
      <c r="A13" s="3" t="s">
        <v>62</v>
      </c>
      <c r="B13" s="3" t="s">
        <v>58</v>
      </c>
      <c r="C13" s="3" t="s">
        <v>63</v>
      </c>
      <c r="D13" s="4" t="s">
        <v>13</v>
      </c>
      <c r="E13" s="5" t="s">
        <v>64</v>
      </c>
      <c r="F13" s="5" t="s">
        <v>65</v>
      </c>
      <c r="G13" s="3" t="s">
        <v>16</v>
      </c>
      <c r="H13" s="5"/>
      <c r="I13" s="3"/>
      <c r="J13" s="3"/>
    </row>
    <row r="14" customFormat="false" ht="23.25" hidden="false" customHeight="true" outlineLevel="0" collapsed="false">
      <c r="A14" s="3" t="s">
        <v>66</v>
      </c>
      <c r="B14" s="3" t="s">
        <v>58</v>
      </c>
      <c r="C14" s="3" t="s">
        <v>67</v>
      </c>
      <c r="D14" s="7" t="s">
        <v>68</v>
      </c>
      <c r="E14" s="5" t="s">
        <v>69</v>
      </c>
      <c r="F14" s="5" t="s">
        <v>70</v>
      </c>
      <c r="G14" s="3" t="s">
        <v>16</v>
      </c>
      <c r="H14" s="5"/>
      <c r="I14" s="3"/>
      <c r="J14" s="3"/>
    </row>
    <row r="15" customFormat="false" ht="45.75" hidden="false" customHeight="true" outlineLevel="0" collapsed="false">
      <c r="A15" s="3" t="s">
        <v>71</v>
      </c>
      <c r="B15" s="3" t="s">
        <v>72</v>
      </c>
      <c r="C15" s="3" t="s">
        <v>73</v>
      </c>
      <c r="D15" s="4" t="s">
        <v>13</v>
      </c>
      <c r="E15" s="5" t="s">
        <v>74</v>
      </c>
      <c r="F15" s="5" t="s">
        <v>75</v>
      </c>
      <c r="G15" s="3" t="s">
        <v>16</v>
      </c>
      <c r="H15" s="5"/>
      <c r="I15" s="3"/>
      <c r="J15" s="3"/>
    </row>
    <row r="16" customFormat="false" ht="34.5" hidden="false" customHeight="true" outlineLevel="0" collapsed="false">
      <c r="A16" s="3" t="s">
        <v>76</v>
      </c>
      <c r="B16" s="3" t="s">
        <v>72</v>
      </c>
      <c r="C16" s="3" t="s">
        <v>77</v>
      </c>
      <c r="D16" s="6" t="s">
        <v>19</v>
      </c>
      <c r="E16" s="5" t="s">
        <v>78</v>
      </c>
      <c r="F16" s="5" t="s">
        <v>79</v>
      </c>
      <c r="G16" s="3" t="s">
        <v>16</v>
      </c>
      <c r="H16" s="5"/>
      <c r="I16" s="3"/>
      <c r="J16" s="3"/>
    </row>
    <row r="17" customFormat="false" ht="23.25" hidden="false" customHeight="true" outlineLevel="0" collapsed="false">
      <c r="A17" s="3" t="s">
        <v>80</v>
      </c>
      <c r="B17" s="3" t="s">
        <v>81</v>
      </c>
      <c r="C17" s="3" t="s">
        <v>82</v>
      </c>
      <c r="D17" s="4" t="s">
        <v>13</v>
      </c>
      <c r="E17" s="5" t="s">
        <v>83</v>
      </c>
      <c r="F17" s="5" t="s">
        <v>84</v>
      </c>
      <c r="G17" s="3" t="s">
        <v>16</v>
      </c>
      <c r="H17" s="5"/>
      <c r="I17" s="3"/>
      <c r="J17" s="3"/>
    </row>
    <row r="18" customFormat="false" ht="23.25" hidden="false" customHeight="true" outlineLevel="0" collapsed="false">
      <c r="A18" s="3" t="s">
        <v>85</v>
      </c>
      <c r="B18" s="3" t="s">
        <v>81</v>
      </c>
      <c r="C18" s="3" t="s">
        <v>86</v>
      </c>
      <c r="D18" s="6" t="s">
        <v>19</v>
      </c>
      <c r="E18" s="5" t="s">
        <v>87</v>
      </c>
      <c r="F18" s="5" t="s">
        <v>88</v>
      </c>
      <c r="G18" s="3" t="s">
        <v>16</v>
      </c>
      <c r="H18" s="5"/>
      <c r="I18" s="3"/>
      <c r="J18" s="3"/>
    </row>
    <row r="19" customFormat="false" ht="23.25" hidden="false" customHeight="true" outlineLevel="0" collapsed="false">
      <c r="A19" s="3" t="s">
        <v>89</v>
      </c>
      <c r="B19" s="3" t="s">
        <v>81</v>
      </c>
      <c r="C19" s="3" t="s">
        <v>90</v>
      </c>
      <c r="D19" s="6" t="s">
        <v>19</v>
      </c>
      <c r="E19" s="5" t="s">
        <v>91</v>
      </c>
      <c r="F19" s="5" t="s">
        <v>92</v>
      </c>
      <c r="G19" s="3" t="s">
        <v>16</v>
      </c>
      <c r="H19" s="5"/>
      <c r="I19" s="3"/>
      <c r="J19" s="3"/>
    </row>
    <row r="20" customFormat="false" ht="23.25" hidden="false" customHeight="true" outlineLevel="0" collapsed="false">
      <c r="A20" s="3" t="s">
        <v>93</v>
      </c>
      <c r="B20" s="3" t="s">
        <v>94</v>
      </c>
      <c r="C20" s="3" t="s">
        <v>95</v>
      </c>
      <c r="D20" s="4" t="s">
        <v>13</v>
      </c>
      <c r="E20" s="5" t="s">
        <v>96</v>
      </c>
      <c r="F20" s="5" t="s">
        <v>97</v>
      </c>
      <c r="G20" s="3" t="s">
        <v>16</v>
      </c>
      <c r="H20" s="5"/>
      <c r="I20" s="3"/>
      <c r="J20" s="3"/>
    </row>
    <row r="21" customFormat="false" ht="23.25" hidden="false" customHeight="true" outlineLevel="0" collapsed="false">
      <c r="A21" s="3" t="s">
        <v>98</v>
      </c>
      <c r="B21" s="3" t="s">
        <v>94</v>
      </c>
      <c r="C21" s="3" t="s">
        <v>99</v>
      </c>
      <c r="D21" s="4" t="s">
        <v>13</v>
      </c>
      <c r="E21" s="5" t="s">
        <v>100</v>
      </c>
      <c r="F21" s="5" t="s">
        <v>101</v>
      </c>
      <c r="G21" s="3" t="s">
        <v>16</v>
      </c>
      <c r="H21" s="5"/>
      <c r="I21" s="3"/>
      <c r="J21" s="3"/>
    </row>
    <row r="22" customFormat="false" ht="23.25" hidden="false" customHeight="true" outlineLevel="0" collapsed="false">
      <c r="A22" s="3" t="s">
        <v>102</v>
      </c>
      <c r="B22" s="3" t="s">
        <v>103</v>
      </c>
      <c r="C22" s="3" t="s">
        <v>104</v>
      </c>
      <c r="D22" s="6" t="s">
        <v>19</v>
      </c>
      <c r="E22" s="5" t="s">
        <v>105</v>
      </c>
      <c r="F22" s="5" t="s">
        <v>106</v>
      </c>
      <c r="G22" s="3" t="s">
        <v>16</v>
      </c>
      <c r="H22" s="5"/>
      <c r="I22" s="3"/>
      <c r="J22" s="3"/>
    </row>
  </sheetData>
  <dataValidations count="2">
    <dataValidation allowBlank="true" errorStyle="stop" operator="between" showDropDown="false" showErrorMessage="false" showInputMessage="false" sqref="G2:G22" type="list">
      <formula1>"Not Tested,Pass,Fail,Blocked"</formula1>
      <formula2>0</formula2>
    </dataValidation>
    <dataValidation allowBlank="true" errorStyle="stop" operator="between" showDropDown="false" showErrorMessage="false" showInputMessage="false" sqref="D2:D22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5" min="5" style="0" width="46"/>
    <col collapsed="false" customWidth="true" hidden="false" outlineLevel="0" max="6" min="6" style="0" width="42"/>
    <col collapsed="false" customWidth="true" hidden="false" outlineLevel="0" max="7" min="7" style="0" width="13"/>
    <col collapsed="false" customWidth="true" hidden="false" outlineLevel="0" max="8" min="8" style="0" width="26"/>
    <col collapsed="false" customWidth="true" hidden="false" outlineLevel="0" max="10" min="9" style="0" width="12"/>
  </cols>
  <sheetData>
    <row r="1" customFormat="false" ht="19.5" hidden="false" customHeight="true" outlineLevel="0" collapsed="false">
      <c r="A1" s="2" t="s">
        <v>107</v>
      </c>
      <c r="B1" s="2" t="s">
        <v>108</v>
      </c>
      <c r="C1" s="2" t="s">
        <v>109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23.85" hidden="false" customHeight="false" outlineLevel="0" collapsed="false">
      <c r="A2" s="3" t="s">
        <v>110</v>
      </c>
      <c r="B2" s="8" t="s">
        <v>111</v>
      </c>
      <c r="C2" s="3" t="s">
        <v>112</v>
      </c>
      <c r="D2" s="4" t="s">
        <v>13</v>
      </c>
      <c r="E2" s="5" t="s">
        <v>113</v>
      </c>
      <c r="F2" s="5" t="s">
        <v>114</v>
      </c>
      <c r="G2" s="3" t="s">
        <v>16</v>
      </c>
      <c r="H2" s="5"/>
      <c r="I2" s="3"/>
      <c r="J2" s="3"/>
    </row>
    <row r="3" customFormat="false" ht="35.05" hidden="false" customHeight="false" outlineLevel="0" collapsed="false">
      <c r="A3" s="3" t="s">
        <v>115</v>
      </c>
      <c r="B3" s="8" t="s">
        <v>111</v>
      </c>
      <c r="C3" s="3" t="s">
        <v>116</v>
      </c>
      <c r="D3" s="6" t="s">
        <v>19</v>
      </c>
      <c r="E3" s="5" t="s">
        <v>117</v>
      </c>
      <c r="F3" s="5" t="s">
        <v>118</v>
      </c>
      <c r="G3" s="3" t="s">
        <v>16</v>
      </c>
      <c r="H3" s="5"/>
      <c r="I3" s="3"/>
      <c r="J3" s="3"/>
    </row>
    <row r="4" customFormat="false" ht="23.85" hidden="false" customHeight="false" outlineLevel="0" collapsed="false">
      <c r="A4" s="3" t="s">
        <v>119</v>
      </c>
      <c r="B4" s="8" t="s">
        <v>111</v>
      </c>
      <c r="C4" s="3" t="s">
        <v>120</v>
      </c>
      <c r="D4" s="4" t="s">
        <v>13</v>
      </c>
      <c r="E4" s="5" t="s">
        <v>121</v>
      </c>
      <c r="F4" s="5" t="s">
        <v>122</v>
      </c>
      <c r="G4" s="3" t="s">
        <v>16</v>
      </c>
      <c r="H4" s="5"/>
      <c r="I4" s="3"/>
      <c r="J4" s="3"/>
    </row>
    <row r="5" customFormat="false" ht="23.85" hidden="false" customHeight="false" outlineLevel="0" collapsed="false">
      <c r="A5" s="3" t="s">
        <v>123</v>
      </c>
      <c r="B5" s="8" t="s">
        <v>111</v>
      </c>
      <c r="C5" s="3" t="s">
        <v>124</v>
      </c>
      <c r="D5" s="4" t="s">
        <v>13</v>
      </c>
      <c r="E5" s="5" t="s">
        <v>125</v>
      </c>
      <c r="F5" s="5" t="s">
        <v>126</v>
      </c>
      <c r="G5" s="3" t="s">
        <v>16</v>
      </c>
      <c r="H5" s="5"/>
      <c r="I5" s="3"/>
      <c r="J5" s="3"/>
    </row>
    <row r="6" customFormat="false" ht="35.05" hidden="false" customHeight="false" outlineLevel="0" collapsed="false">
      <c r="A6" s="3" t="s">
        <v>127</v>
      </c>
      <c r="B6" s="8" t="s">
        <v>111</v>
      </c>
      <c r="C6" s="3" t="s">
        <v>128</v>
      </c>
      <c r="D6" s="4" t="s">
        <v>13</v>
      </c>
      <c r="E6" s="5" t="s">
        <v>129</v>
      </c>
      <c r="F6" s="5" t="s">
        <v>130</v>
      </c>
      <c r="G6" s="3" t="s">
        <v>16</v>
      </c>
      <c r="H6" s="5"/>
      <c r="I6" s="3"/>
      <c r="J6" s="3"/>
    </row>
    <row r="7" customFormat="false" ht="23.85" hidden="false" customHeight="false" outlineLevel="0" collapsed="false">
      <c r="A7" s="3" t="s">
        <v>131</v>
      </c>
      <c r="B7" s="8" t="s">
        <v>111</v>
      </c>
      <c r="C7" s="3" t="s">
        <v>132</v>
      </c>
      <c r="D7" s="6" t="s">
        <v>19</v>
      </c>
      <c r="E7" s="5" t="s">
        <v>133</v>
      </c>
      <c r="F7" s="5" t="s">
        <v>134</v>
      </c>
      <c r="G7" s="3" t="s">
        <v>16</v>
      </c>
      <c r="H7" s="5"/>
      <c r="I7" s="3"/>
      <c r="J7" s="3"/>
    </row>
    <row r="8" customFormat="false" ht="23.85" hidden="false" customHeight="false" outlineLevel="0" collapsed="false">
      <c r="A8" s="3" t="s">
        <v>135</v>
      </c>
      <c r="B8" s="8" t="s">
        <v>111</v>
      </c>
      <c r="C8" s="3" t="s">
        <v>136</v>
      </c>
      <c r="D8" s="7" t="s">
        <v>68</v>
      </c>
      <c r="E8" s="5" t="s">
        <v>137</v>
      </c>
      <c r="F8" s="5" t="s">
        <v>138</v>
      </c>
      <c r="G8" s="3" t="s">
        <v>16</v>
      </c>
      <c r="H8" s="5"/>
      <c r="I8" s="3"/>
      <c r="J8" s="3"/>
    </row>
    <row r="9" customFormat="false" ht="23.85" hidden="false" customHeight="false" outlineLevel="0" collapsed="false">
      <c r="A9" s="3" t="s">
        <v>139</v>
      </c>
      <c r="B9" s="8" t="s">
        <v>111</v>
      </c>
      <c r="C9" s="3" t="s">
        <v>140</v>
      </c>
      <c r="D9" s="6" t="s">
        <v>19</v>
      </c>
      <c r="E9" s="5" t="s">
        <v>141</v>
      </c>
      <c r="F9" s="5" t="s">
        <v>142</v>
      </c>
      <c r="G9" s="3" t="s">
        <v>16</v>
      </c>
      <c r="H9" s="5"/>
      <c r="I9" s="3"/>
      <c r="J9" s="3"/>
    </row>
    <row r="10" customFormat="false" ht="23.85" hidden="false" customHeight="false" outlineLevel="0" collapsed="false">
      <c r="A10" s="3" t="s">
        <v>143</v>
      </c>
      <c r="B10" s="8" t="s">
        <v>111</v>
      </c>
      <c r="C10" s="3" t="s">
        <v>144</v>
      </c>
      <c r="D10" s="6" t="s">
        <v>19</v>
      </c>
      <c r="E10" s="5" t="s">
        <v>145</v>
      </c>
      <c r="F10" s="5" t="s">
        <v>146</v>
      </c>
      <c r="G10" s="3" t="s">
        <v>16</v>
      </c>
      <c r="H10" s="5"/>
      <c r="I10" s="3"/>
      <c r="J10" s="3"/>
    </row>
    <row r="11" customFormat="false" ht="23.85" hidden="false" customHeight="false" outlineLevel="0" collapsed="false">
      <c r="A11" s="3" t="s">
        <v>147</v>
      </c>
      <c r="B11" s="9" t="s">
        <v>148</v>
      </c>
      <c r="C11" s="3" t="s">
        <v>149</v>
      </c>
      <c r="D11" s="6" t="s">
        <v>19</v>
      </c>
      <c r="E11" s="5" t="s">
        <v>150</v>
      </c>
      <c r="F11" s="5" t="s">
        <v>151</v>
      </c>
      <c r="G11" s="3" t="s">
        <v>16</v>
      </c>
      <c r="H11" s="5"/>
      <c r="I11" s="3"/>
      <c r="J11" s="3"/>
    </row>
    <row r="12" customFormat="false" ht="23.85" hidden="false" customHeight="false" outlineLevel="0" collapsed="false">
      <c r="A12" s="3" t="s">
        <v>152</v>
      </c>
      <c r="B12" s="9" t="s">
        <v>148</v>
      </c>
      <c r="C12" s="3" t="s">
        <v>153</v>
      </c>
      <c r="D12" s="4" t="s">
        <v>13</v>
      </c>
      <c r="E12" s="5" t="s">
        <v>154</v>
      </c>
      <c r="F12" s="5" t="s">
        <v>155</v>
      </c>
      <c r="G12" s="3" t="s">
        <v>16</v>
      </c>
      <c r="H12" s="5"/>
      <c r="I12" s="3"/>
      <c r="J12" s="3"/>
    </row>
    <row r="13" customFormat="false" ht="15" hidden="false" customHeight="false" outlineLevel="0" collapsed="false">
      <c r="A13" s="3" t="s">
        <v>156</v>
      </c>
      <c r="B13" s="9" t="s">
        <v>148</v>
      </c>
      <c r="C13" s="3" t="s">
        <v>157</v>
      </c>
      <c r="D13" s="6" t="s">
        <v>19</v>
      </c>
      <c r="E13" s="5" t="s">
        <v>158</v>
      </c>
      <c r="F13" s="5" t="s">
        <v>159</v>
      </c>
      <c r="G13" s="3" t="s">
        <v>16</v>
      </c>
      <c r="H13" s="5"/>
      <c r="I13" s="3"/>
      <c r="J13" s="3"/>
    </row>
    <row r="14" customFormat="false" ht="23.85" hidden="false" customHeight="false" outlineLevel="0" collapsed="false">
      <c r="A14" s="3" t="s">
        <v>160</v>
      </c>
      <c r="B14" s="9" t="s">
        <v>148</v>
      </c>
      <c r="C14" s="3" t="s">
        <v>161</v>
      </c>
      <c r="D14" s="4" t="s">
        <v>13</v>
      </c>
      <c r="E14" s="5" t="s">
        <v>162</v>
      </c>
      <c r="F14" s="5" t="s">
        <v>163</v>
      </c>
      <c r="G14" s="3" t="s">
        <v>16</v>
      </c>
      <c r="H14" s="5"/>
      <c r="I14" s="3"/>
      <c r="J14" s="3"/>
    </row>
    <row r="15" customFormat="false" ht="35.05" hidden="false" customHeight="false" outlineLevel="0" collapsed="false">
      <c r="A15" s="3" t="s">
        <v>164</v>
      </c>
      <c r="B15" s="9" t="s">
        <v>148</v>
      </c>
      <c r="C15" s="3" t="s">
        <v>165</v>
      </c>
      <c r="D15" s="6" t="s">
        <v>19</v>
      </c>
      <c r="E15" s="5" t="s">
        <v>166</v>
      </c>
      <c r="F15" s="5" t="s">
        <v>167</v>
      </c>
      <c r="G15" s="3" t="s">
        <v>16</v>
      </c>
      <c r="H15" s="5"/>
      <c r="I15" s="3"/>
      <c r="J15" s="3"/>
    </row>
    <row r="16" customFormat="false" ht="23.85" hidden="false" customHeight="false" outlineLevel="0" collapsed="false">
      <c r="A16" s="3" t="s">
        <v>168</v>
      </c>
      <c r="B16" s="9" t="s">
        <v>148</v>
      </c>
      <c r="C16" s="3" t="s">
        <v>169</v>
      </c>
      <c r="D16" s="4" t="s">
        <v>13</v>
      </c>
      <c r="E16" s="5" t="s">
        <v>170</v>
      </c>
      <c r="F16" s="5" t="s">
        <v>171</v>
      </c>
      <c r="G16" s="3" t="s">
        <v>16</v>
      </c>
      <c r="H16" s="5"/>
      <c r="I16" s="3"/>
      <c r="J16" s="3"/>
    </row>
    <row r="17" customFormat="false" ht="23.85" hidden="false" customHeight="false" outlineLevel="0" collapsed="false">
      <c r="A17" s="3" t="s">
        <v>172</v>
      </c>
      <c r="B17" s="9" t="s">
        <v>148</v>
      </c>
      <c r="C17" s="3" t="s">
        <v>173</v>
      </c>
      <c r="D17" s="4" t="s">
        <v>13</v>
      </c>
      <c r="E17" s="5" t="s">
        <v>174</v>
      </c>
      <c r="F17" s="5" t="s">
        <v>175</v>
      </c>
      <c r="G17" s="3" t="s">
        <v>16</v>
      </c>
      <c r="H17" s="5"/>
      <c r="I17" s="3"/>
      <c r="J17" s="3"/>
    </row>
    <row r="18" customFormat="false" ht="35.05" hidden="false" customHeight="false" outlineLevel="0" collapsed="false">
      <c r="A18" s="3" t="s">
        <v>176</v>
      </c>
      <c r="B18" s="9" t="s">
        <v>148</v>
      </c>
      <c r="C18" s="3" t="s">
        <v>177</v>
      </c>
      <c r="D18" s="7" t="s">
        <v>68</v>
      </c>
      <c r="E18" s="5" t="s">
        <v>178</v>
      </c>
      <c r="F18" s="5" t="s">
        <v>179</v>
      </c>
      <c r="G18" s="3" t="s">
        <v>16</v>
      </c>
      <c r="H18" s="5"/>
      <c r="I18" s="3"/>
      <c r="J18" s="3"/>
    </row>
    <row r="19" customFormat="false" ht="23.85" hidden="false" customHeight="false" outlineLevel="0" collapsed="false">
      <c r="A19" s="3" t="s">
        <v>180</v>
      </c>
      <c r="B19" s="9" t="s">
        <v>148</v>
      </c>
      <c r="C19" s="3" t="s">
        <v>181</v>
      </c>
      <c r="D19" s="4" t="s">
        <v>13</v>
      </c>
      <c r="E19" s="5" t="s">
        <v>182</v>
      </c>
      <c r="F19" s="5" t="s">
        <v>183</v>
      </c>
      <c r="G19" s="3" t="s">
        <v>16</v>
      </c>
      <c r="H19" s="5"/>
      <c r="I19" s="3"/>
      <c r="J19" s="3"/>
    </row>
    <row r="20" customFormat="false" ht="35.05" hidden="false" customHeight="false" outlineLevel="0" collapsed="false">
      <c r="A20" s="3" t="s">
        <v>184</v>
      </c>
      <c r="B20" s="9" t="s">
        <v>148</v>
      </c>
      <c r="C20" s="3" t="s">
        <v>185</v>
      </c>
      <c r="D20" s="4" t="s">
        <v>13</v>
      </c>
      <c r="E20" s="5" t="s">
        <v>186</v>
      </c>
      <c r="F20" s="5" t="s">
        <v>187</v>
      </c>
      <c r="G20" s="3" t="s">
        <v>16</v>
      </c>
      <c r="H20" s="5"/>
      <c r="I20" s="3"/>
      <c r="J20" s="3"/>
    </row>
    <row r="21" customFormat="false" ht="23.85" hidden="false" customHeight="false" outlineLevel="0" collapsed="false">
      <c r="A21" s="3" t="s">
        <v>188</v>
      </c>
      <c r="B21" s="10" t="s">
        <v>189</v>
      </c>
      <c r="C21" s="3" t="s">
        <v>190</v>
      </c>
      <c r="D21" s="6" t="s">
        <v>19</v>
      </c>
      <c r="E21" s="5" t="s">
        <v>191</v>
      </c>
      <c r="F21" s="5" t="s">
        <v>192</v>
      </c>
      <c r="G21" s="3" t="s">
        <v>16</v>
      </c>
      <c r="H21" s="5"/>
      <c r="I21" s="3"/>
      <c r="J21" s="3"/>
    </row>
    <row r="22" customFormat="false" ht="46.25" hidden="false" customHeight="false" outlineLevel="0" collapsed="false">
      <c r="A22" s="3" t="s">
        <v>193</v>
      </c>
      <c r="B22" s="10" t="s">
        <v>189</v>
      </c>
      <c r="C22" s="3" t="s">
        <v>194</v>
      </c>
      <c r="D22" s="4" t="s">
        <v>13</v>
      </c>
      <c r="E22" s="5" t="s">
        <v>195</v>
      </c>
      <c r="F22" s="5" t="s">
        <v>196</v>
      </c>
      <c r="G22" s="3" t="s">
        <v>16</v>
      </c>
      <c r="H22" s="5"/>
      <c r="I22" s="3"/>
      <c r="J22" s="3"/>
    </row>
    <row r="23" customFormat="false" ht="35.05" hidden="false" customHeight="false" outlineLevel="0" collapsed="false">
      <c r="A23" s="3" t="s">
        <v>197</v>
      </c>
      <c r="B23" s="10" t="s">
        <v>189</v>
      </c>
      <c r="C23" s="3" t="s">
        <v>198</v>
      </c>
      <c r="D23" s="6" t="s">
        <v>19</v>
      </c>
      <c r="E23" s="5" t="s">
        <v>199</v>
      </c>
      <c r="F23" s="5" t="s">
        <v>200</v>
      </c>
      <c r="G23" s="3" t="s">
        <v>16</v>
      </c>
      <c r="H23" s="5"/>
      <c r="I23" s="3"/>
      <c r="J23" s="3"/>
    </row>
    <row r="24" customFormat="false" ht="35.05" hidden="false" customHeight="false" outlineLevel="0" collapsed="false">
      <c r="A24" s="3" t="s">
        <v>201</v>
      </c>
      <c r="B24" s="10" t="s">
        <v>189</v>
      </c>
      <c r="C24" s="3" t="s">
        <v>202</v>
      </c>
      <c r="D24" s="6" t="s">
        <v>19</v>
      </c>
      <c r="E24" s="5" t="s">
        <v>203</v>
      </c>
      <c r="F24" s="5" t="s">
        <v>204</v>
      </c>
      <c r="G24" s="3" t="s">
        <v>16</v>
      </c>
      <c r="H24" s="5"/>
      <c r="I24" s="3"/>
      <c r="J24" s="3"/>
    </row>
    <row r="25" customFormat="false" ht="23.85" hidden="false" customHeight="false" outlineLevel="0" collapsed="false">
      <c r="A25" s="3" t="s">
        <v>205</v>
      </c>
      <c r="B25" s="10" t="s">
        <v>189</v>
      </c>
      <c r="C25" s="3" t="s">
        <v>206</v>
      </c>
      <c r="D25" s="7" t="s">
        <v>68</v>
      </c>
      <c r="E25" s="5" t="s">
        <v>207</v>
      </c>
      <c r="F25" s="5" t="s">
        <v>208</v>
      </c>
      <c r="G25" s="3" t="s">
        <v>16</v>
      </c>
      <c r="H25" s="5"/>
      <c r="I25" s="3"/>
      <c r="J25" s="3"/>
    </row>
    <row r="26" customFormat="false" ht="23.85" hidden="false" customHeight="false" outlineLevel="0" collapsed="false">
      <c r="A26" s="3" t="s">
        <v>209</v>
      </c>
      <c r="B26" s="10" t="s">
        <v>189</v>
      </c>
      <c r="C26" s="3" t="s">
        <v>210</v>
      </c>
      <c r="D26" s="7" t="s">
        <v>68</v>
      </c>
      <c r="E26" s="5" t="s">
        <v>211</v>
      </c>
      <c r="F26" s="5" t="s">
        <v>212</v>
      </c>
      <c r="G26" s="3" t="s">
        <v>16</v>
      </c>
      <c r="H26" s="5"/>
      <c r="I26" s="3"/>
      <c r="J26" s="3"/>
    </row>
    <row r="27" customFormat="false" ht="23.85" hidden="false" customHeight="false" outlineLevel="0" collapsed="false">
      <c r="A27" s="3" t="s">
        <v>213</v>
      </c>
      <c r="B27" s="11" t="s">
        <v>214</v>
      </c>
      <c r="C27" s="3" t="s">
        <v>215</v>
      </c>
      <c r="D27" s="6" t="s">
        <v>19</v>
      </c>
      <c r="E27" s="5" t="s">
        <v>216</v>
      </c>
      <c r="F27" s="5" t="s">
        <v>217</v>
      </c>
      <c r="G27" s="3" t="s">
        <v>16</v>
      </c>
      <c r="H27" s="5"/>
      <c r="I27" s="3"/>
      <c r="J27" s="3"/>
    </row>
    <row r="28" customFormat="false" ht="15" hidden="false" customHeight="false" outlineLevel="0" collapsed="false">
      <c r="A28" s="3" t="s">
        <v>218</v>
      </c>
      <c r="B28" s="11" t="s">
        <v>214</v>
      </c>
      <c r="C28" s="3" t="s">
        <v>219</v>
      </c>
      <c r="D28" s="6" t="s">
        <v>19</v>
      </c>
      <c r="E28" s="5" t="s">
        <v>220</v>
      </c>
      <c r="F28" s="5" t="s">
        <v>221</v>
      </c>
      <c r="G28" s="3" t="s">
        <v>16</v>
      </c>
      <c r="H28" s="5"/>
      <c r="I28" s="3"/>
      <c r="J28" s="3"/>
    </row>
    <row r="29" customFormat="false" ht="15" hidden="false" customHeight="false" outlineLevel="0" collapsed="false">
      <c r="A29" s="3" t="s">
        <v>222</v>
      </c>
      <c r="B29" s="11" t="s">
        <v>214</v>
      </c>
      <c r="C29" s="3" t="s">
        <v>223</v>
      </c>
      <c r="D29" s="4" t="s">
        <v>13</v>
      </c>
      <c r="E29" s="5" t="s">
        <v>224</v>
      </c>
      <c r="F29" s="5" t="s">
        <v>225</v>
      </c>
      <c r="G29" s="3" t="s">
        <v>16</v>
      </c>
      <c r="H29" s="5"/>
      <c r="I29" s="3"/>
      <c r="J29" s="3"/>
    </row>
    <row r="30" customFormat="false" ht="23.85" hidden="false" customHeight="false" outlineLevel="0" collapsed="false">
      <c r="A30" s="3" t="s">
        <v>226</v>
      </c>
      <c r="B30" s="11" t="s">
        <v>214</v>
      </c>
      <c r="C30" s="3" t="s">
        <v>227</v>
      </c>
      <c r="D30" s="7" t="s">
        <v>68</v>
      </c>
      <c r="E30" s="5" t="s">
        <v>228</v>
      </c>
      <c r="F30" s="5" t="s">
        <v>229</v>
      </c>
      <c r="G30" s="3" t="s">
        <v>16</v>
      </c>
      <c r="H30" s="5"/>
      <c r="I30" s="3"/>
      <c r="J30" s="3"/>
    </row>
    <row r="31" customFormat="false" ht="23.85" hidden="false" customHeight="false" outlineLevel="0" collapsed="false">
      <c r="A31" s="3" t="s">
        <v>230</v>
      </c>
      <c r="B31" s="11" t="s">
        <v>214</v>
      </c>
      <c r="C31" s="3" t="s">
        <v>231</v>
      </c>
      <c r="D31" s="4" t="s">
        <v>13</v>
      </c>
      <c r="E31" s="5" t="s">
        <v>232</v>
      </c>
      <c r="F31" s="5" t="s">
        <v>233</v>
      </c>
      <c r="G31" s="3" t="s">
        <v>16</v>
      </c>
      <c r="H31" s="5"/>
      <c r="I31" s="3"/>
      <c r="J31" s="3"/>
    </row>
    <row r="32" customFormat="false" ht="23.85" hidden="false" customHeight="false" outlineLevel="0" collapsed="false">
      <c r="A32" s="3" t="s">
        <v>234</v>
      </c>
      <c r="B32" s="11" t="s">
        <v>214</v>
      </c>
      <c r="C32" s="3" t="s">
        <v>235</v>
      </c>
      <c r="D32" s="7" t="s">
        <v>68</v>
      </c>
      <c r="E32" s="5" t="s">
        <v>236</v>
      </c>
      <c r="F32" s="5" t="s">
        <v>237</v>
      </c>
      <c r="G32" s="3" t="s">
        <v>16</v>
      </c>
      <c r="H32" s="5"/>
      <c r="I32" s="3"/>
      <c r="J32" s="3"/>
    </row>
    <row r="33" customFormat="false" ht="23.85" hidden="false" customHeight="false" outlineLevel="0" collapsed="false">
      <c r="A33" s="3" t="s">
        <v>238</v>
      </c>
      <c r="B33" s="11" t="s">
        <v>214</v>
      </c>
      <c r="C33" s="3" t="s">
        <v>239</v>
      </c>
      <c r="D33" s="6" t="s">
        <v>19</v>
      </c>
      <c r="E33" s="5" t="s">
        <v>240</v>
      </c>
      <c r="F33" s="5" t="s">
        <v>241</v>
      </c>
      <c r="G33" s="3" t="s">
        <v>16</v>
      </c>
      <c r="H33" s="5"/>
      <c r="I33" s="3"/>
      <c r="J33" s="3"/>
    </row>
    <row r="34" customFormat="false" ht="23.85" hidden="false" customHeight="false" outlineLevel="0" collapsed="false">
      <c r="A34" s="3" t="s">
        <v>242</v>
      </c>
      <c r="B34" s="11" t="s">
        <v>214</v>
      </c>
      <c r="C34" s="3" t="s">
        <v>243</v>
      </c>
      <c r="D34" s="7" t="s">
        <v>68</v>
      </c>
      <c r="E34" s="5" t="s">
        <v>244</v>
      </c>
      <c r="F34" s="5" t="s">
        <v>245</v>
      </c>
      <c r="G34" s="3" t="s">
        <v>16</v>
      </c>
      <c r="H34" s="5"/>
      <c r="I34" s="3"/>
      <c r="J34" s="3"/>
    </row>
    <row r="35" customFormat="false" ht="35.05" hidden="false" customHeight="false" outlineLevel="0" collapsed="false">
      <c r="A35" s="3" t="s">
        <v>246</v>
      </c>
      <c r="B35" s="11" t="s">
        <v>214</v>
      </c>
      <c r="C35" s="3" t="s">
        <v>247</v>
      </c>
      <c r="D35" s="6" t="s">
        <v>19</v>
      </c>
      <c r="E35" s="5" t="s">
        <v>248</v>
      </c>
      <c r="F35" s="5" t="s">
        <v>249</v>
      </c>
      <c r="G35" s="3" t="s">
        <v>16</v>
      </c>
      <c r="H35" s="5"/>
      <c r="I35" s="3"/>
      <c r="J35" s="3"/>
    </row>
    <row r="36" customFormat="false" ht="35.05" hidden="false" customHeight="false" outlineLevel="0" collapsed="false">
      <c r="A36" s="3" t="s">
        <v>250</v>
      </c>
      <c r="B36" s="12" t="s">
        <v>251</v>
      </c>
      <c r="C36" s="3" t="s">
        <v>252</v>
      </c>
      <c r="D36" s="4" t="s">
        <v>13</v>
      </c>
      <c r="E36" s="5" t="s">
        <v>253</v>
      </c>
      <c r="F36" s="5" t="s">
        <v>254</v>
      </c>
      <c r="G36" s="3" t="s">
        <v>16</v>
      </c>
      <c r="H36" s="5"/>
      <c r="I36" s="3"/>
      <c r="J36" s="3"/>
    </row>
    <row r="37" customFormat="false" ht="35.05" hidden="false" customHeight="false" outlineLevel="0" collapsed="false">
      <c r="A37" s="3" t="s">
        <v>255</v>
      </c>
      <c r="B37" s="12" t="s">
        <v>251</v>
      </c>
      <c r="C37" s="3" t="s">
        <v>256</v>
      </c>
      <c r="D37" s="4" t="s">
        <v>13</v>
      </c>
      <c r="E37" s="5" t="s">
        <v>257</v>
      </c>
      <c r="F37" s="5" t="s">
        <v>258</v>
      </c>
      <c r="G37" s="3" t="s">
        <v>16</v>
      </c>
      <c r="H37" s="5"/>
      <c r="I37" s="3"/>
      <c r="J37" s="3"/>
    </row>
    <row r="38" customFormat="false" ht="23.85" hidden="false" customHeight="false" outlineLevel="0" collapsed="false">
      <c r="A38" s="3" t="s">
        <v>259</v>
      </c>
      <c r="B38" s="12" t="s">
        <v>251</v>
      </c>
      <c r="C38" s="3" t="s">
        <v>260</v>
      </c>
      <c r="D38" s="6" t="s">
        <v>19</v>
      </c>
      <c r="E38" s="5" t="s">
        <v>261</v>
      </c>
      <c r="F38" s="5" t="s">
        <v>262</v>
      </c>
      <c r="G38" s="3" t="s">
        <v>16</v>
      </c>
      <c r="H38" s="5"/>
      <c r="I38" s="3"/>
      <c r="J38" s="3"/>
    </row>
    <row r="39" customFormat="false" ht="35.05" hidden="false" customHeight="false" outlineLevel="0" collapsed="false">
      <c r="A39" s="3" t="s">
        <v>263</v>
      </c>
      <c r="B39" s="12" t="s">
        <v>251</v>
      </c>
      <c r="C39" s="3" t="s">
        <v>264</v>
      </c>
      <c r="D39" s="7" t="s">
        <v>68</v>
      </c>
      <c r="E39" s="5" t="s">
        <v>265</v>
      </c>
      <c r="F39" s="5" t="s">
        <v>266</v>
      </c>
      <c r="G39" s="3" t="s">
        <v>16</v>
      </c>
      <c r="H39" s="5"/>
      <c r="I39" s="3"/>
      <c r="J39" s="3"/>
    </row>
  </sheetData>
  <dataValidations count="2">
    <dataValidation allowBlank="true" errorStyle="stop" operator="between" showDropDown="false" showErrorMessage="false" showInputMessage="false" sqref="G2:G39" type="list">
      <formula1>"Not Tested,Pass,Fail,Blocked"</formula1>
      <formula2>0</formula2>
    </dataValidation>
    <dataValidation allowBlank="true" errorStyle="stop" operator="between" showDropDown="false" showErrorMessage="false" showInputMessage="false" sqref="D2:D39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4"/>
    <col collapsed="false" customWidth="true" hidden="false" outlineLevel="0" max="4" min="4" style="1" width="32"/>
    <col collapsed="false" customWidth="true" hidden="false" outlineLevel="0" max="6" min="5" style="1" width="10"/>
  </cols>
  <sheetData>
    <row r="1" customFormat="false" ht="17.25" hidden="false" customHeight="true" outlineLevel="0" collapsed="false">
      <c r="A1" s="13" t="s">
        <v>267</v>
      </c>
      <c r="B1" s="13"/>
      <c r="C1" s="13"/>
    </row>
    <row r="3" customFormat="false" ht="15" hidden="false" customHeight="true" outlineLevel="0" collapsed="false">
      <c r="A3" s="2" t="s">
        <v>268</v>
      </c>
      <c r="B3" s="2" t="s">
        <v>269</v>
      </c>
      <c r="D3" s="2" t="s">
        <v>1</v>
      </c>
      <c r="E3" s="2" t="s">
        <v>270</v>
      </c>
      <c r="F3" s="2" t="s">
        <v>271</v>
      </c>
    </row>
    <row r="4" customFormat="false" ht="15" hidden="false" customHeight="true" outlineLevel="0" collapsed="false">
      <c r="A4" s="14" t="s">
        <v>272</v>
      </c>
      <c r="B4" s="14" t="n">
        <f aca="false">COUNTA('Test Cases'!A2:A22)</f>
        <v>21</v>
      </c>
      <c r="D4" s="5" t="s">
        <v>11</v>
      </c>
      <c r="E4" s="3" t="n">
        <f aca="false">COUNTIF('Test Cases'!$B$2:$B$22,D4)</f>
        <v>2</v>
      </c>
      <c r="F4" s="3" t="n">
        <f aca="false">COUNTIFS('Test Cases'!$B$2:$B$22,D4,'Test Cases'!$G$2:$G$22,"Pass")</f>
        <v>0</v>
      </c>
    </row>
    <row r="5" customFormat="false" ht="15" hidden="false" customHeight="true" outlineLevel="0" collapsed="false">
      <c r="A5" s="14" t="s">
        <v>273</v>
      </c>
      <c r="B5" s="14" t="n">
        <f aca="false">COUNTIF('Test Cases'!G2:G22,"Pass")</f>
        <v>0</v>
      </c>
      <c r="D5" s="5" t="s">
        <v>23</v>
      </c>
      <c r="E5" s="3" t="n">
        <f aca="false">COUNTIF('Test Cases'!$B$2:$B$22,D5)</f>
        <v>3</v>
      </c>
      <c r="F5" s="3" t="n">
        <f aca="false">COUNTIFS('Test Cases'!$B$2:$B$22,D5,'Test Cases'!$G$2:$G$22,"Pass")</f>
        <v>0</v>
      </c>
    </row>
    <row r="6" customFormat="false" ht="15" hidden="false" customHeight="true" outlineLevel="0" collapsed="false">
      <c r="A6" s="14" t="s">
        <v>274</v>
      </c>
      <c r="B6" s="14" t="n">
        <f aca="false">COUNTIF('Test Cases'!G2:G22,"Fail")</f>
        <v>0</v>
      </c>
      <c r="D6" s="5" t="s">
        <v>36</v>
      </c>
      <c r="E6" s="3" t="n">
        <f aca="false">COUNTIF('Test Cases'!$B$2:$B$22,D6)</f>
        <v>3</v>
      </c>
      <c r="F6" s="3" t="n">
        <f aca="false">COUNTIFS('Test Cases'!$B$2:$B$22,D6,'Test Cases'!$G$2:$G$22,"Pass")</f>
        <v>0</v>
      </c>
    </row>
    <row r="7" customFormat="false" ht="15" hidden="false" customHeight="true" outlineLevel="0" collapsed="false">
      <c r="A7" s="14" t="s">
        <v>275</v>
      </c>
      <c r="B7" s="14" t="n">
        <f aca="false">COUNTIF('Test Cases'!G2:G22,"Blocked")</f>
        <v>0</v>
      </c>
      <c r="D7" s="5" t="s">
        <v>49</v>
      </c>
      <c r="E7" s="3" t="n">
        <f aca="false">COUNTIF('Test Cases'!$B$2:$B$22,D7)</f>
        <v>2</v>
      </c>
      <c r="F7" s="3" t="n">
        <f aca="false">COUNTIFS('Test Cases'!$B$2:$B$22,D7,'Test Cases'!$G$2:$G$22,"Pass")</f>
        <v>0</v>
      </c>
    </row>
    <row r="8" customFormat="false" ht="15" hidden="false" customHeight="true" outlineLevel="0" collapsed="false">
      <c r="A8" s="14" t="s">
        <v>16</v>
      </c>
      <c r="B8" s="14" t="n">
        <f aca="false">COUNTIF('Test Cases'!G2:G22,"Not Tested")</f>
        <v>21</v>
      </c>
      <c r="D8" s="5" t="s">
        <v>58</v>
      </c>
      <c r="E8" s="3" t="n">
        <f aca="false">COUNTIF('Test Cases'!$B$2:$B$22,D8)</f>
        <v>3</v>
      </c>
      <c r="F8" s="3" t="n">
        <f aca="false">COUNTIFS('Test Cases'!$B$2:$B$22,D8,'Test Cases'!$G$2:$G$22,"Pass")</f>
        <v>0</v>
      </c>
    </row>
    <row r="9" customFormat="false" ht="15" hidden="false" customHeight="true" outlineLevel="0" collapsed="false">
      <c r="A9" s="14" t="s">
        <v>276</v>
      </c>
      <c r="B9" s="14" t="n">
        <f aca="false">COUNTIF('Test Cases'!D2:D22,"High")</f>
        <v>14</v>
      </c>
      <c r="D9" s="5" t="s">
        <v>72</v>
      </c>
      <c r="E9" s="3" t="n">
        <f aca="false">COUNTIF('Test Cases'!$B$2:$B$22,D9)</f>
        <v>2</v>
      </c>
      <c r="F9" s="3" t="n">
        <f aca="false">COUNTIFS('Test Cases'!$B$2:$B$22,D9,'Test Cases'!$G$2:$G$22,"Pass")</f>
        <v>0</v>
      </c>
    </row>
    <row r="10" customFormat="false" ht="15" hidden="false" customHeight="true" outlineLevel="0" collapsed="false">
      <c r="A10" s="14" t="s">
        <v>277</v>
      </c>
      <c r="B10" s="15" t="n">
        <f aca="false">IFERROR(B4/B3,0)</f>
        <v>0</v>
      </c>
      <c r="D10" s="5" t="s">
        <v>81</v>
      </c>
      <c r="E10" s="3" t="n">
        <f aca="false">COUNTIF('Test Cases'!$B$2:$B$22,D10)</f>
        <v>3</v>
      </c>
      <c r="F10" s="3" t="n">
        <f aca="false">COUNTIFS('Test Cases'!$B$2:$B$22,D10,'Test Cases'!$G$2:$G$22,"Pass")</f>
        <v>0</v>
      </c>
    </row>
    <row r="11" customFormat="false" ht="15" hidden="false" customHeight="true" outlineLevel="0" collapsed="false">
      <c r="D11" s="5" t="s">
        <v>94</v>
      </c>
      <c r="E11" s="3" t="n">
        <f aca="false">COUNTIF('Test Cases'!$B$2:$B$22,D11)</f>
        <v>2</v>
      </c>
      <c r="F11" s="3" t="n">
        <f aca="false">COUNTIFS('Test Cases'!$B$2:$B$22,D11,'Test Cases'!$G$2:$G$22,"Pass")</f>
        <v>0</v>
      </c>
    </row>
    <row r="12" customFormat="false" ht="15" hidden="false" customHeight="true" outlineLevel="0" collapsed="false">
      <c r="D12" s="5" t="s">
        <v>103</v>
      </c>
      <c r="E12" s="3" t="n">
        <f aca="false">COUNTIF('Test Cases'!$B$2:$B$22,D12)</f>
        <v>1</v>
      </c>
      <c r="F12" s="3" t="n">
        <f aca="false">COUNTIFS('Test Cases'!$B$2:$B$22,D12,'Test Cases'!$G$2:$G$22,"Pass")</f>
        <v>0</v>
      </c>
    </row>
    <row r="13" customFormat="false" ht="16.15" hidden="false" customHeight="false" outlineLevel="0" collapsed="false">
      <c r="A13" s="16" t="s">
        <v>278</v>
      </c>
    </row>
    <row r="14" customFormat="false" ht="15" hidden="false" customHeight="false" outlineLevel="0" collapsed="false">
      <c r="A14" s="17" t="s">
        <v>268</v>
      </c>
      <c r="B14" s="17" t="s">
        <v>269</v>
      </c>
      <c r="D14" s="17" t="s">
        <v>108</v>
      </c>
      <c r="E14" s="17" t="s">
        <v>279</v>
      </c>
      <c r="F14" s="17" t="s">
        <v>271</v>
      </c>
    </row>
    <row r="15" customFormat="false" ht="15" hidden="false" customHeight="false" outlineLevel="0" collapsed="false">
      <c r="A15" s="18" t="s">
        <v>280</v>
      </c>
      <c r="B15" s="18" t="n">
        <f aca="false">COUNTA('Role Edge Cases'!A2:A39)</f>
        <v>38</v>
      </c>
      <c r="D15" s="5" t="s">
        <v>111</v>
      </c>
      <c r="E15" s="3" t="n">
        <f aca="false">COUNTIF('Role Edge Cases'!$B$2:$B$39,D15)</f>
        <v>9</v>
      </c>
      <c r="F15" s="3" t="n">
        <f aca="false">COUNTIFS('Role Edge Cases'!$B$2:$B$39,D15,'Role Edge Cases'!$G$2:$G$39,"Pass")</f>
        <v>0</v>
      </c>
    </row>
    <row r="16" customFormat="false" ht="15" hidden="false" customHeight="false" outlineLevel="0" collapsed="false">
      <c r="A16" s="18" t="s">
        <v>273</v>
      </c>
      <c r="B16" s="18" t="n">
        <f aca="false">COUNTIF('Role Edge Cases'!G2:G39,"Pass")</f>
        <v>0</v>
      </c>
      <c r="D16" s="5" t="s">
        <v>148</v>
      </c>
      <c r="E16" s="3" t="n">
        <f aca="false">COUNTIF('Role Edge Cases'!$B$2:$B$39,D16)</f>
        <v>10</v>
      </c>
      <c r="F16" s="3" t="n">
        <f aca="false">COUNTIFS('Role Edge Cases'!$B$2:$B$39,D16,'Role Edge Cases'!$G$2:$G$39,"Pass")</f>
        <v>0</v>
      </c>
    </row>
    <row r="17" customFormat="false" ht="15" hidden="false" customHeight="false" outlineLevel="0" collapsed="false">
      <c r="A17" s="18" t="s">
        <v>274</v>
      </c>
      <c r="B17" s="18" t="n">
        <f aca="false">COUNTIF('Role Edge Cases'!G2:G39,"Fail")</f>
        <v>0</v>
      </c>
      <c r="D17" s="5" t="s">
        <v>189</v>
      </c>
      <c r="E17" s="3" t="n">
        <f aca="false">COUNTIF('Role Edge Cases'!$B$2:$B$39,D17)</f>
        <v>6</v>
      </c>
      <c r="F17" s="3" t="n">
        <f aca="false">COUNTIFS('Role Edge Cases'!$B$2:$B$39,D17,'Role Edge Cases'!$G$2:$G$39,"Pass")</f>
        <v>0</v>
      </c>
    </row>
    <row r="18" customFormat="false" ht="15" hidden="false" customHeight="false" outlineLevel="0" collapsed="false">
      <c r="A18" s="18" t="s">
        <v>275</v>
      </c>
      <c r="B18" s="18" t="n">
        <f aca="false">COUNTIF('Role Edge Cases'!G2:G39,"Blocked")</f>
        <v>0</v>
      </c>
      <c r="D18" s="5" t="s">
        <v>214</v>
      </c>
      <c r="E18" s="3" t="n">
        <f aca="false">COUNTIF('Role Edge Cases'!$B$2:$B$39,D18)</f>
        <v>9</v>
      </c>
      <c r="F18" s="3" t="n">
        <f aca="false">COUNTIFS('Role Edge Cases'!$B$2:$B$39,D18,'Role Edge Cases'!$G$2:$G$39,"Pass")</f>
        <v>0</v>
      </c>
    </row>
    <row r="19" customFormat="false" ht="15" hidden="false" customHeight="false" outlineLevel="0" collapsed="false">
      <c r="A19" s="18" t="s">
        <v>16</v>
      </c>
      <c r="B19" s="18" t="n">
        <f aca="false">COUNTIF('Role Edge Cases'!G2:G39,"Not Tested")</f>
        <v>38</v>
      </c>
      <c r="D19" s="5" t="s">
        <v>251</v>
      </c>
      <c r="E19" s="3" t="n">
        <f aca="false">COUNTIF('Role Edge Cases'!$B$2:$B$39,D19)</f>
        <v>4</v>
      </c>
      <c r="F19" s="3" t="n">
        <f aca="false">COUNTIFS('Role Edge Cases'!$B$2:$B$39,D19,'Role Edge Cases'!$G$2:$G$39,"Pass")</f>
        <v>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2026-07-12T10:35:54Z</dcterms:created>
  <dc:creator>openpyxl</dc:creator>
  <dc:description/>
  <dc:language>en-US</dc:language>
  <cp:lastModifiedBy/>
  <dcterms:modified xsi:type="dcterms:W3CDTF">2026-07-12T12:34:25Z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